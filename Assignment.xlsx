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/>
  <mc:AlternateContent xmlns:mc="http://schemas.openxmlformats.org/markup-compatibility/2006">
    <mc:Choice Requires="x15">
      <x15ac:absPath xmlns:x15ac="http://schemas.microsoft.com/office/spreadsheetml/2010/11/ac" url="C:\Users\ajijo\Desktop\ogundapo\kabir-sales-analysis\"/>
    </mc:Choice>
  </mc:AlternateContent>
  <xr:revisionPtr revIDLastSave="0" documentId="13_ncr:1_{7F3F77E1-6DF1-427A-8868-DCB41BDA35C8}" xr6:coauthVersionLast="40" xr6:coauthVersionMax="40" xr10:uidLastSave="{00000000-0000-0000-0000-000000000000}"/>
  <bookViews>
    <workbookView xWindow="0" yWindow="0" windowWidth="20490" windowHeight="7425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C26" i="1" l="1"/>
  <c r="C25" i="1"/>
  <c r="C24" i="1"/>
  <c r="C23" i="1"/>
  <c r="C22" i="1"/>
  <c r="J21" i="1"/>
  <c r="I21" i="1"/>
  <c r="C21" i="1"/>
  <c r="O20" i="1"/>
  <c r="N20" i="1"/>
  <c r="J20" i="1"/>
  <c r="I20" i="1"/>
  <c r="C20" i="1"/>
  <c r="O19" i="1"/>
  <c r="N19" i="1"/>
  <c r="J19" i="1"/>
  <c r="I19" i="1"/>
  <c r="C19" i="1"/>
  <c r="O18" i="1"/>
  <c r="N18" i="1"/>
  <c r="J18" i="1"/>
  <c r="I18" i="1"/>
  <c r="C18" i="1"/>
  <c r="O17" i="1"/>
  <c r="N17" i="1"/>
  <c r="J17" i="1"/>
  <c r="I17" i="1"/>
  <c r="C17" i="1"/>
  <c r="O16" i="1"/>
  <c r="N16" i="1"/>
  <c r="J16" i="1"/>
  <c r="I16" i="1"/>
  <c r="C16" i="1"/>
  <c r="C15" i="1"/>
  <c r="C14" i="1"/>
  <c r="C13" i="1"/>
  <c r="C12" i="1"/>
  <c r="C11" i="1"/>
  <c r="C10" i="1"/>
  <c r="C9" i="1"/>
  <c r="I7" i="1" s="1"/>
  <c r="P8" i="1"/>
  <c r="J8" i="1"/>
  <c r="I8" i="1"/>
  <c r="C8" i="1"/>
  <c r="T20" i="1" s="1"/>
  <c r="P7" i="1"/>
  <c r="C7" i="1"/>
  <c r="P6" i="1"/>
  <c r="C6" i="1"/>
  <c r="J7" i="1" s="1"/>
  <c r="P5" i="1"/>
  <c r="C5" i="1"/>
  <c r="S17" i="1" s="1"/>
  <c r="P4" i="1"/>
  <c r="C4" i="1"/>
  <c r="K9" i="1" s="1"/>
  <c r="C3" i="1"/>
  <c r="U18" i="1" s="1"/>
  <c r="U17" i="1" l="1"/>
  <c r="U20" i="1"/>
  <c r="J9" i="1"/>
  <c r="T17" i="1"/>
  <c r="I6" i="1"/>
  <c r="K8" i="1"/>
  <c r="J6" i="1"/>
  <c r="S19" i="1"/>
  <c r="T19" i="1"/>
  <c r="U19" i="1"/>
  <c r="S21" i="1"/>
  <c r="T21" i="1"/>
  <c r="K6" i="1"/>
  <c r="S18" i="1"/>
  <c r="U21" i="1"/>
  <c r="T18" i="1"/>
  <c r="I9" i="1"/>
  <c r="I5" i="1"/>
  <c r="K7" i="1"/>
  <c r="J5" i="1"/>
  <c r="K5" i="1"/>
  <c r="S20" i="1"/>
</calcChain>
</file>

<file path=xl/sharedStrings.xml><?xml version="1.0" encoding="utf-8"?>
<sst xmlns="http://schemas.openxmlformats.org/spreadsheetml/2006/main" count="71" uniqueCount="25">
  <si>
    <t>Yearly Sales Report</t>
  </si>
  <si>
    <t>S/N</t>
  </si>
  <si>
    <t>Date</t>
  </si>
  <si>
    <t>Year</t>
  </si>
  <si>
    <t>Sales Rep</t>
  </si>
  <si>
    <t>Quantity Sold</t>
  </si>
  <si>
    <t>Amount</t>
  </si>
  <si>
    <t>Ayo</t>
  </si>
  <si>
    <t>Sum of Sales by Years</t>
  </si>
  <si>
    <t>Condition</t>
  </si>
  <si>
    <t>Quantity</t>
  </si>
  <si>
    <t>Tola</t>
  </si>
  <si>
    <t>COUNTIF</t>
  </si>
  <si>
    <t>Abdul</t>
  </si>
  <si>
    <t>Ada</t>
  </si>
  <si>
    <t>Ese</t>
  </si>
  <si>
    <t>FUNCTIONS</t>
  </si>
  <si>
    <t>Quantity Sold by Years</t>
  </si>
  <si>
    <t>SUM</t>
  </si>
  <si>
    <t>SUMIF</t>
  </si>
  <si>
    <t>MINIMUM</t>
  </si>
  <si>
    <t>MAXIMUM</t>
  </si>
  <si>
    <t>AVERAGE</t>
  </si>
  <si>
    <t>COUNT</t>
  </si>
  <si>
    <t>COUNTA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</si>
</sst>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"/>
  </numFmts>
  <fonts count="9">
    <font>
      <sz val="11"/>
      <color theme="1"/>
      <name val="Calibri"/>
      <scheme val="minor"/>
    </font>
    <font>
      <b/>
      <sz val="20"/>
      <color theme="0"/>
      <name val="Times New Roman"/>
    </font>
    <font>
      <sz val="11"/>
      <name val="Calibri"/>
    </font>
    <font>
      <b/>
      <sz val="14"/>
      <color theme="1"/>
      <name val="Times New Roman"/>
    </font>
    <font>
      <sz val="11"/>
      <color theme="1"/>
      <name val="Times New Roman"/>
    </font>
    <font>
      <sz val="10"/>
      <color rgb="FF000000"/>
      <name val="Times New Roman"/>
    </font>
    <font>
      <sz val="11"/>
      <color theme="1"/>
      <name val="Calibri"/>
    </font>
    <font>
      <b/>
      <sz val="11"/>
      <color theme="1"/>
      <name val="Calibri"/>
    </font>
    <font>
      <b/>
      <sz val="11"/>
      <color theme="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</fills>
  <borders count="25">
    <border>
      <left/>
      <right/>
      <top/>
      <bottom/>
      <diagonal/>
    </border>
    <border>
      <left style="thin">
        <color rgb="FFA8D08D"/>
      </left>
      <right/>
      <top style="thin">
        <color rgb="FFA8D08D"/>
      </top>
      <bottom style="thin">
        <color rgb="FFA8D08D"/>
      </bottom>
      <diagonal/>
    </border>
    <border>
      <left/>
      <right/>
      <top style="thin">
        <color rgb="FFA8D08D"/>
      </top>
      <bottom style="thin">
        <color rgb="FFA8D08D"/>
      </bottom>
      <diagonal/>
    </border>
    <border>
      <left/>
      <right style="thin">
        <color rgb="FFA8D08D"/>
      </right>
      <top style="thin">
        <color rgb="FFA8D08D"/>
      </top>
      <bottom style="thin">
        <color rgb="FFA8D08D"/>
      </bottom>
      <diagonal/>
    </border>
    <border>
      <left style="thin">
        <color rgb="FFA8D08D"/>
      </left>
      <right style="thin">
        <color rgb="FFA8D08D"/>
      </right>
      <top style="thin">
        <color rgb="FFA8D08D"/>
      </top>
      <bottom style="thin">
        <color rgb="FFA8D08D"/>
      </bottom>
      <diagonal/>
    </border>
    <border>
      <left style="medium">
        <color rgb="FFA8D08D"/>
      </left>
      <right/>
      <top style="medium">
        <color rgb="FFA8D08D"/>
      </top>
      <bottom style="medium">
        <color rgb="FFA8D08D"/>
      </bottom>
      <diagonal/>
    </border>
    <border>
      <left/>
      <right/>
      <top style="medium">
        <color rgb="FFA8D08D"/>
      </top>
      <bottom style="medium">
        <color rgb="FFA8D08D"/>
      </bottom>
      <diagonal/>
    </border>
    <border>
      <left/>
      <right style="medium">
        <color rgb="FFA8D08D"/>
      </right>
      <top style="medium">
        <color rgb="FFA8D08D"/>
      </top>
      <bottom style="medium">
        <color rgb="FFA8D08D"/>
      </bottom>
      <diagonal/>
    </border>
    <border>
      <left style="medium">
        <color rgb="FFA8D08D"/>
      </left>
      <right style="thin">
        <color rgb="FFA8D08D"/>
      </right>
      <top style="medium">
        <color rgb="FFA8D08D"/>
      </top>
      <bottom style="thin">
        <color rgb="FFA8D08D"/>
      </bottom>
      <diagonal/>
    </border>
    <border>
      <left style="thin">
        <color rgb="FFA8D08D"/>
      </left>
      <right style="thin">
        <color rgb="FFA8D08D"/>
      </right>
      <top style="medium">
        <color rgb="FFA8D08D"/>
      </top>
      <bottom style="thin">
        <color rgb="FFA8D08D"/>
      </bottom>
      <diagonal/>
    </border>
    <border>
      <left style="thin">
        <color rgb="FFA8D08D"/>
      </left>
      <right style="medium">
        <color rgb="FFA8D08D"/>
      </right>
      <top style="medium">
        <color rgb="FFA8D08D"/>
      </top>
      <bottom style="thin">
        <color rgb="FFA8D08D"/>
      </bottom>
      <diagonal/>
    </border>
    <border>
      <left style="medium">
        <color rgb="FFA8D08D"/>
      </left>
      <right/>
      <top style="medium">
        <color rgb="FFA8D08D"/>
      </top>
      <bottom style="thin">
        <color rgb="FFA8D08D"/>
      </bottom>
      <diagonal/>
    </border>
    <border>
      <left style="medium">
        <color rgb="FFA8D08D"/>
      </left>
      <right style="thin">
        <color rgb="FFA8D08D"/>
      </right>
      <top style="thin">
        <color rgb="FFA8D08D"/>
      </top>
      <bottom/>
      <diagonal/>
    </border>
    <border>
      <left style="thin">
        <color rgb="FFA8D08D"/>
      </left>
      <right style="medium">
        <color rgb="FFA8D08D"/>
      </right>
      <top style="thin">
        <color rgb="FFA8D08D"/>
      </top>
      <bottom style="thin">
        <color rgb="FFA8D08D"/>
      </bottom>
      <diagonal/>
    </border>
    <border>
      <left style="medium">
        <color rgb="FFA8D08D"/>
      </left>
      <right/>
      <top style="thin">
        <color rgb="FFA8D08D"/>
      </top>
      <bottom style="thin">
        <color rgb="FFA8D08D"/>
      </bottom>
      <diagonal/>
    </border>
    <border>
      <left style="medium">
        <color rgb="FFA8D08D"/>
      </left>
      <right style="thin">
        <color rgb="FFA8D08D"/>
      </right>
      <top style="thin">
        <color rgb="FFA8D08D"/>
      </top>
      <bottom style="thin">
        <color rgb="FFA8D08D"/>
      </bottom>
      <diagonal/>
    </border>
    <border>
      <left style="medium">
        <color rgb="FFA8D08D"/>
      </left>
      <right style="thin">
        <color rgb="FFA8D08D"/>
      </right>
      <top/>
      <bottom/>
      <diagonal/>
    </border>
    <border>
      <left style="medium">
        <color rgb="FFA8D08D"/>
      </left>
      <right style="thin">
        <color rgb="FFA8D08D"/>
      </right>
      <top/>
      <bottom style="medium">
        <color rgb="FFA8D08D"/>
      </bottom>
      <diagonal/>
    </border>
    <border>
      <left style="thin">
        <color rgb="FFA8D08D"/>
      </left>
      <right style="thin">
        <color rgb="FFA8D08D"/>
      </right>
      <top style="thin">
        <color rgb="FFA8D08D"/>
      </top>
      <bottom style="medium">
        <color rgb="FFA8D08D"/>
      </bottom>
      <diagonal/>
    </border>
    <border>
      <left style="medium">
        <color rgb="FFA8D08D"/>
      </left>
      <right/>
      <top style="thin">
        <color rgb="FFA8D08D"/>
      </top>
      <bottom style="medium">
        <color rgb="FFA8D08D"/>
      </bottom>
      <diagonal/>
    </border>
    <border>
      <left style="medium">
        <color rgb="FFA8D08D"/>
      </left>
      <right/>
      <top style="medium">
        <color rgb="FFA8D08D"/>
      </top>
      <bottom style="thin">
        <color rgb="FFA8D08D"/>
      </bottom>
      <diagonal/>
    </border>
    <border>
      <left/>
      <right/>
      <top style="medium">
        <color rgb="FFA8D08D"/>
      </top>
      <bottom style="thin">
        <color rgb="FFA8D08D"/>
      </bottom>
      <diagonal/>
    </border>
    <border>
      <left/>
      <right style="medium">
        <color rgb="FFA8D08D"/>
      </right>
      <top style="medium">
        <color rgb="FFA8D08D"/>
      </top>
      <bottom style="thin">
        <color rgb="FFA8D08D"/>
      </bottom>
      <diagonal/>
    </border>
    <border>
      <left style="medium">
        <color rgb="FFA8D08D"/>
      </left>
      <right style="thin">
        <color rgb="FFA8D08D"/>
      </right>
      <top style="thin">
        <color rgb="FFA8D08D"/>
      </top>
      <bottom style="medium">
        <color rgb="FFA8D08D"/>
      </bottom>
      <diagonal/>
    </border>
    <border>
      <left style="thin">
        <color rgb="FFA8D08D"/>
      </left>
      <right style="medium">
        <color rgb="FFA8D08D"/>
      </right>
      <top style="thin">
        <color rgb="FFA8D08D"/>
      </top>
      <bottom style="medium">
        <color rgb="FFA8D08D"/>
      </bottom>
      <diagonal/>
    </border>
  </borders>
  <cellStyleXfs count="1">
    <xf numFmtId="0" fontId="0" fillId="0" borderId="0"/>
  </cellStyleXfs>
  <cellXfs count="40">
    <xf numFmtId="0" fontId="0" fillId="0" borderId="0" xfId="0" applyFont="1" applyAlignment="1"/>
    <xf numFmtId="0" fontId="3" fillId="3" borderId="4" xfId="0" applyFont="1" applyFill="1" applyBorder="1"/>
    <xf numFmtId="0" fontId="4" fillId="0" borderId="4" xfId="0" applyFont="1" applyBorder="1"/>
    <xf numFmtId="14" fontId="5" fillId="0" borderId="4" xfId="0" applyNumberFormat="1" applyFont="1" applyBorder="1"/>
    <xf numFmtId="4" fontId="4" fillId="0" borderId="4" xfId="0" applyNumberFormat="1" applyFont="1" applyBorder="1"/>
    <xf numFmtId="22" fontId="6" fillId="0" borderId="0" xfId="0" applyNumberFormat="1" applyFont="1"/>
    <xf numFmtId="0" fontId="7" fillId="4" borderId="8" xfId="0" applyFont="1" applyFill="1" applyBorder="1"/>
    <xf numFmtId="0" fontId="7" fillId="4" borderId="9" xfId="0" applyFont="1" applyFill="1" applyBorder="1"/>
    <xf numFmtId="0" fontId="7" fillId="4" borderId="10" xfId="0" applyFont="1" applyFill="1" applyBorder="1"/>
    <xf numFmtId="14" fontId="6" fillId="0" borderId="0" xfId="0" applyNumberFormat="1" applyFont="1"/>
    <xf numFmtId="0" fontId="7" fillId="4" borderId="11" xfId="0" applyFont="1" applyFill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6" fillId="0" borderId="4" xfId="0" applyFont="1" applyBorder="1"/>
    <xf numFmtId="0" fontId="6" fillId="0" borderId="13" xfId="0" applyFont="1" applyBorder="1"/>
    <xf numFmtId="0" fontId="6" fillId="0" borderId="14" xfId="0" applyFont="1" applyBorder="1"/>
    <xf numFmtId="164" fontId="6" fillId="0" borderId="15" xfId="0" applyNumberFormat="1" applyFont="1" applyBorder="1"/>
    <xf numFmtId="0" fontId="6" fillId="0" borderId="18" xfId="0" applyFont="1" applyBorder="1"/>
    <xf numFmtId="0" fontId="6" fillId="0" borderId="19" xfId="0" applyFont="1" applyBorder="1"/>
    <xf numFmtId="0" fontId="7" fillId="3" borderId="15" xfId="0" applyFont="1" applyFill="1" applyBorder="1"/>
    <xf numFmtId="0" fontId="7" fillId="3" borderId="4" xfId="0" applyFont="1" applyFill="1" applyBorder="1"/>
    <xf numFmtId="0" fontId="7" fillId="3" borderId="13" xfId="0" applyFont="1" applyFill="1" applyBorder="1"/>
    <xf numFmtId="0" fontId="6" fillId="0" borderId="15" xfId="0" applyFont="1" applyBorder="1"/>
    <xf numFmtId="4" fontId="6" fillId="0" borderId="13" xfId="0" applyNumberFormat="1" applyFont="1" applyBorder="1"/>
    <xf numFmtId="164" fontId="6" fillId="0" borderId="15" xfId="0" applyNumberFormat="1" applyFont="1" applyBorder="1" applyAlignment="1"/>
    <xf numFmtId="0" fontId="6" fillId="0" borderId="23" xfId="0" applyFont="1" applyBorder="1"/>
    <xf numFmtId="0" fontId="6" fillId="0" borderId="24" xfId="0" applyFont="1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7" fillId="4" borderId="5" xfId="0" applyFont="1" applyFill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6" fillId="0" borderId="12" xfId="0" applyFont="1" applyBorder="1" applyAlignment="1">
      <alignment horizontal="center" vertical="center"/>
    </xf>
    <xf numFmtId="0" fontId="2" fillId="0" borderId="16" xfId="0" applyFont="1" applyBorder="1"/>
    <xf numFmtId="0" fontId="2" fillId="0" borderId="17" xfId="0" applyFont="1" applyBorder="1"/>
    <xf numFmtId="0" fontId="8" fillId="2" borderId="20" xfId="0" applyFont="1" applyFill="1" applyBorder="1" applyAlignment="1">
      <alignment horizontal="center" vertical="center"/>
    </xf>
    <xf numFmtId="0" fontId="2" fillId="0" borderId="21" xfId="0" applyFont="1" applyBorder="1"/>
    <xf numFmtId="0" fontId="2" fillId="0" borderId="22" xfId="0" applyFont="1" applyBorder="1"/>
  </cellXfs>
  <cellStyles count="1">
    <cellStyle name="Normal" xfId="0" builtinId="0"/>
  </cellStyles>
  <dxfs count="6">
    <dxf>
      <fill>
        <patternFill patternType="solid">
          <fgColor rgb="FFB7E1CD"/>
          <bgColor rgb="FFB7E1CD"/>
        </patternFill>
      </fill>
    </dxf>
    <dxf>
      <font>
        <color rgb="FF00FF00"/>
      </font>
      <fill>
        <patternFill patternType="solid">
          <fgColor rgb="FFFF0000"/>
          <bgColor rgb="FFFF0000"/>
        </patternFill>
      </fill>
    </dxf>
    <dxf>
      <font>
        <color rgb="FF00FF00"/>
      </font>
      <fill>
        <patternFill patternType="solid">
          <fgColor rgb="FF6AA84F"/>
          <bgColor rgb="FF6AA84F"/>
        </patternFill>
      </fill>
    </dxf>
    <dxf>
      <font>
        <color rgb="FF00FF0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FF00"/>
      </font>
      <fill>
        <patternFill patternType="solid">
          <fgColor rgb="FF6AA84F"/>
          <bgColor rgb="FF6AA84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0"/>
  <sheetViews>
    <sheetView tabSelected="1" topLeftCell="A11" workbookViewId="0">
      <selection activeCell="K32" sqref="K32"/>
    </sheetView>
  </sheetViews>
  <sheetFormatPr defaultColWidth="14.42578125" defaultRowHeight="15" customHeight="1"/>
  <cols>
    <col min="1" max="1" width="8.7109375" customWidth="1"/>
    <col min="2" max="2" width="9.85546875" customWidth="1"/>
    <col min="3" max="3" width="8.7109375" customWidth="1"/>
    <col min="4" max="4" width="12.140625" customWidth="1"/>
    <col min="5" max="5" width="17" customWidth="1"/>
    <col min="6" max="6" width="10.42578125" customWidth="1"/>
    <col min="7" max="7" width="8.7109375" customWidth="1"/>
    <col min="8" max="8" width="11.42578125" customWidth="1"/>
    <col min="9" max="9" width="23.7109375" customWidth="1"/>
    <col min="10" max="10" width="17.5703125" customWidth="1"/>
    <col min="11" max="11" width="14.5703125" customWidth="1"/>
    <col min="12" max="12" width="8.7109375" customWidth="1"/>
    <col min="13" max="13" width="9.5703125" customWidth="1"/>
    <col min="14" max="14" width="12.28515625" customWidth="1"/>
    <col min="15" max="15" width="10.42578125" customWidth="1"/>
    <col min="16" max="16" width="19.42578125" customWidth="1"/>
    <col min="17" max="17" width="8.7109375" customWidth="1"/>
    <col min="18" max="18" width="9.42578125" customWidth="1"/>
    <col min="19" max="19" width="20.7109375" customWidth="1"/>
    <col min="20" max="20" width="16.140625" customWidth="1"/>
    <col min="21" max="21" width="17.140625" customWidth="1"/>
    <col min="22" max="26" width="8.7109375" customWidth="1"/>
  </cols>
  <sheetData>
    <row r="1" spans="1:21" ht="25.5">
      <c r="A1" s="28" t="s">
        <v>0</v>
      </c>
      <c r="B1" s="29"/>
      <c r="C1" s="29"/>
      <c r="D1" s="29"/>
      <c r="E1" s="29"/>
      <c r="F1" s="30"/>
    </row>
    <row r="2" spans="1:21" ht="14.2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21" ht="14.25" customHeight="1">
      <c r="A3" s="2">
        <v>1</v>
      </c>
      <c r="B3" s="3">
        <v>40221</v>
      </c>
      <c r="C3" s="3" t="str">
        <f t="shared" ref="C3:C26" si="0">TEXT(B3,"YYYY")</f>
        <v>2010</v>
      </c>
      <c r="D3" s="2" t="s">
        <v>7</v>
      </c>
      <c r="E3" s="2">
        <v>76</v>
      </c>
      <c r="F3" s="4">
        <v>16720</v>
      </c>
      <c r="G3" s="5"/>
      <c r="I3" s="31" t="s">
        <v>8</v>
      </c>
      <c r="J3" s="32"/>
      <c r="K3" s="33"/>
      <c r="N3" s="6"/>
      <c r="O3" s="7" t="s">
        <v>9</v>
      </c>
      <c r="P3" s="8" t="s">
        <v>10</v>
      </c>
    </row>
    <row r="4" spans="1:21" ht="14.25" customHeight="1">
      <c r="A4" s="2">
        <v>2</v>
      </c>
      <c r="B4" s="3">
        <v>40235</v>
      </c>
      <c r="C4" s="3" t="str">
        <f t="shared" si="0"/>
        <v>2010</v>
      </c>
      <c r="D4" s="2" t="s">
        <v>11</v>
      </c>
      <c r="E4" s="2">
        <v>59</v>
      </c>
      <c r="F4" s="4">
        <v>12980</v>
      </c>
      <c r="G4" s="9"/>
      <c r="H4" s="10" t="s">
        <v>4</v>
      </c>
      <c r="I4" s="11">
        <v>2010</v>
      </c>
      <c r="J4" s="12">
        <v>2011</v>
      </c>
      <c r="K4" s="13">
        <v>2012</v>
      </c>
      <c r="N4" s="34" t="s">
        <v>12</v>
      </c>
      <c r="O4" s="14" t="s">
        <v>13</v>
      </c>
      <c r="P4" s="15">
        <f t="shared" ref="P4:P8" si="1">COUNTIF(D$3:D1000, O4)</f>
        <v>6</v>
      </c>
    </row>
    <row r="5" spans="1:21" ht="14.25" customHeight="1">
      <c r="A5" s="2">
        <v>3</v>
      </c>
      <c r="B5" s="3">
        <v>40249</v>
      </c>
      <c r="C5" s="3" t="str">
        <f t="shared" si="0"/>
        <v>2010</v>
      </c>
      <c r="D5" s="2" t="s">
        <v>13</v>
      </c>
      <c r="E5" s="2">
        <v>56</v>
      </c>
      <c r="F5" s="4">
        <v>12320</v>
      </c>
      <c r="H5" s="16" t="s">
        <v>13</v>
      </c>
      <c r="I5" s="17">
        <f t="shared" ref="I5:K5" si="2">SUMIFS($F$3:$F1000, $D$3:$D1000,$H5,$C$3:$C1000,I$4)</f>
        <v>12320</v>
      </c>
      <c r="J5" s="17">
        <f t="shared" si="2"/>
        <v>23100</v>
      </c>
      <c r="K5" s="17">
        <f t="shared" si="2"/>
        <v>25520</v>
      </c>
      <c r="N5" s="35"/>
      <c r="O5" s="14" t="s">
        <v>7</v>
      </c>
      <c r="P5" s="15">
        <f t="shared" si="1"/>
        <v>3</v>
      </c>
    </row>
    <row r="6" spans="1:21" ht="14.25" customHeight="1">
      <c r="A6" s="2">
        <v>4</v>
      </c>
      <c r="B6" s="3">
        <v>40249</v>
      </c>
      <c r="C6" s="3" t="str">
        <f t="shared" si="0"/>
        <v>2010</v>
      </c>
      <c r="D6" s="2" t="s">
        <v>14</v>
      </c>
      <c r="E6" s="2">
        <v>48</v>
      </c>
      <c r="F6" s="4">
        <v>10560</v>
      </c>
      <c r="H6" s="16" t="s">
        <v>7</v>
      </c>
      <c r="I6" s="17">
        <f t="shared" ref="I6:K6" si="3">SUMIFS($F$3:$F1000, $D$3:$D1000,$H6,$C$3:$C1000,I$4)</f>
        <v>16720</v>
      </c>
      <c r="J6" s="17">
        <f t="shared" si="3"/>
        <v>6160</v>
      </c>
      <c r="K6" s="17">
        <f t="shared" si="3"/>
        <v>7920</v>
      </c>
      <c r="N6" s="35"/>
      <c r="O6" s="14" t="s">
        <v>14</v>
      </c>
      <c r="P6" s="15">
        <f t="shared" si="1"/>
        <v>5</v>
      </c>
    </row>
    <row r="7" spans="1:21" ht="14.25" customHeight="1">
      <c r="A7" s="2">
        <v>5</v>
      </c>
      <c r="B7" s="3">
        <v>40418</v>
      </c>
      <c r="C7" s="3" t="str">
        <f t="shared" si="0"/>
        <v>2010</v>
      </c>
      <c r="D7" s="2" t="s">
        <v>11</v>
      </c>
      <c r="E7" s="2">
        <v>40</v>
      </c>
      <c r="F7" s="4">
        <v>8800</v>
      </c>
      <c r="H7" s="16" t="s">
        <v>14</v>
      </c>
      <c r="I7" s="17">
        <f t="shared" ref="I7:K7" si="4">SUMIFS($F$3:$F1000, $D$3:$D1000,$H7,$C$3:$C1000,I$4)</f>
        <v>26840</v>
      </c>
      <c r="J7" s="17">
        <f t="shared" si="4"/>
        <v>0</v>
      </c>
      <c r="K7" s="17">
        <f t="shared" si="4"/>
        <v>15840</v>
      </c>
      <c r="N7" s="35"/>
      <c r="O7" s="14" t="s">
        <v>15</v>
      </c>
      <c r="P7" s="15">
        <f t="shared" si="1"/>
        <v>3</v>
      </c>
    </row>
    <row r="8" spans="1:21" ht="14.25" customHeight="1">
      <c r="A8" s="2">
        <v>6</v>
      </c>
      <c r="B8" s="3">
        <v>40418</v>
      </c>
      <c r="C8" s="3" t="str">
        <f t="shared" si="0"/>
        <v>2010</v>
      </c>
      <c r="D8" s="2" t="s">
        <v>15</v>
      </c>
      <c r="E8" s="2">
        <v>90</v>
      </c>
      <c r="F8" s="4">
        <v>19800</v>
      </c>
      <c r="H8" s="16" t="s">
        <v>15</v>
      </c>
      <c r="I8" s="17">
        <f t="shared" ref="I8:K8" si="5">SUMIFS($F$3:$F1000, $D$3:$D1000,$H8,$C$3:$C1000,I$4)</f>
        <v>19800</v>
      </c>
      <c r="J8" s="17">
        <f t="shared" si="5"/>
        <v>20900</v>
      </c>
      <c r="K8" s="17">
        <f t="shared" si="5"/>
        <v>11440</v>
      </c>
      <c r="N8" s="36"/>
      <c r="O8" s="18" t="s">
        <v>11</v>
      </c>
      <c r="P8" s="15">
        <f t="shared" si="1"/>
        <v>7</v>
      </c>
    </row>
    <row r="9" spans="1:21" ht="14.25" customHeight="1">
      <c r="A9" s="2">
        <v>7</v>
      </c>
      <c r="B9" s="3">
        <v>40464</v>
      </c>
      <c r="C9" s="3" t="str">
        <f t="shared" si="0"/>
        <v>2010</v>
      </c>
      <c r="D9" s="2" t="s">
        <v>14</v>
      </c>
      <c r="E9" s="2">
        <v>24</v>
      </c>
      <c r="F9" s="4">
        <v>5280</v>
      </c>
      <c r="H9" s="19" t="s">
        <v>11</v>
      </c>
      <c r="I9" s="17">
        <f t="shared" ref="I9:K9" si="6">SUMIFS($F$3:$F1000, $D$3:$D1000,$H9,$C$3:$C1000,I$4)</f>
        <v>29040</v>
      </c>
      <c r="J9" s="17">
        <f t="shared" si="6"/>
        <v>33440</v>
      </c>
      <c r="K9" s="17">
        <f t="shared" si="6"/>
        <v>20240</v>
      </c>
    </row>
    <row r="10" spans="1:21" ht="14.25" customHeight="1">
      <c r="A10" s="2">
        <v>8</v>
      </c>
      <c r="B10" s="3">
        <v>40505</v>
      </c>
      <c r="C10" s="3" t="str">
        <f t="shared" si="0"/>
        <v>2010</v>
      </c>
      <c r="D10" s="2" t="s">
        <v>14</v>
      </c>
      <c r="E10" s="2">
        <v>50</v>
      </c>
      <c r="F10" s="4">
        <v>11000</v>
      </c>
    </row>
    <row r="11" spans="1:21" ht="14.25" customHeight="1">
      <c r="A11" s="2">
        <v>9</v>
      </c>
      <c r="B11" s="3">
        <v>40505</v>
      </c>
      <c r="C11" s="3" t="str">
        <f t="shared" si="0"/>
        <v>2010</v>
      </c>
      <c r="D11" s="2" t="s">
        <v>11</v>
      </c>
      <c r="E11" s="2">
        <v>33</v>
      </c>
      <c r="F11" s="4">
        <v>7260</v>
      </c>
    </row>
    <row r="12" spans="1:21" ht="14.25" customHeight="1">
      <c r="A12" s="2">
        <v>10</v>
      </c>
      <c r="B12" s="3">
        <v>40611</v>
      </c>
      <c r="C12" s="3" t="str">
        <f t="shared" si="0"/>
        <v>2011</v>
      </c>
      <c r="D12" s="2" t="s">
        <v>15</v>
      </c>
      <c r="E12" s="2">
        <v>95</v>
      </c>
      <c r="F12" s="4">
        <v>20900</v>
      </c>
    </row>
    <row r="13" spans="1:21" ht="14.25" customHeight="1">
      <c r="A13" s="2">
        <v>11</v>
      </c>
      <c r="B13" s="3">
        <v>40626</v>
      </c>
      <c r="C13" s="3" t="str">
        <f t="shared" si="0"/>
        <v>2011</v>
      </c>
      <c r="D13" s="2" t="s">
        <v>13</v>
      </c>
      <c r="E13" s="2">
        <v>57</v>
      </c>
      <c r="F13" s="4">
        <v>12540</v>
      </c>
    </row>
    <row r="14" spans="1:21" ht="14.25" customHeight="1">
      <c r="A14" s="2">
        <v>12</v>
      </c>
      <c r="B14" s="3">
        <v>40693</v>
      </c>
      <c r="C14" s="3" t="str">
        <f t="shared" si="0"/>
        <v>2011</v>
      </c>
      <c r="D14" s="2" t="s">
        <v>13</v>
      </c>
      <c r="E14" s="2">
        <v>48</v>
      </c>
      <c r="F14" s="4">
        <v>10560</v>
      </c>
      <c r="H14" s="37" t="s">
        <v>16</v>
      </c>
      <c r="I14" s="38"/>
      <c r="J14" s="39"/>
    </row>
    <row r="15" spans="1:21" ht="14.25" customHeight="1">
      <c r="A15" s="2">
        <v>13</v>
      </c>
      <c r="B15" s="3">
        <v>40711</v>
      </c>
      <c r="C15" s="3" t="str">
        <f t="shared" si="0"/>
        <v>2011</v>
      </c>
      <c r="D15" s="2" t="s">
        <v>11</v>
      </c>
      <c r="E15" s="2">
        <v>88</v>
      </c>
      <c r="F15" s="4">
        <v>19360</v>
      </c>
      <c r="H15" s="20"/>
      <c r="I15" s="21" t="s">
        <v>10</v>
      </c>
      <c r="J15" s="22" t="s">
        <v>6</v>
      </c>
      <c r="L15" s="6"/>
      <c r="M15" s="7" t="s">
        <v>9</v>
      </c>
      <c r="N15" s="7" t="s">
        <v>10</v>
      </c>
      <c r="O15" s="8" t="s">
        <v>6</v>
      </c>
      <c r="S15" s="31" t="s">
        <v>17</v>
      </c>
      <c r="T15" s="32"/>
      <c r="U15" s="33"/>
    </row>
    <row r="16" spans="1:21" ht="14.25" customHeight="1">
      <c r="A16" s="2">
        <v>14</v>
      </c>
      <c r="B16" s="3">
        <v>40711</v>
      </c>
      <c r="C16" s="3" t="str">
        <f t="shared" si="0"/>
        <v>2011</v>
      </c>
      <c r="D16" s="2" t="s">
        <v>7</v>
      </c>
      <c r="E16" s="2">
        <v>28</v>
      </c>
      <c r="F16" s="4">
        <v>6160</v>
      </c>
      <c r="H16" s="23" t="s">
        <v>18</v>
      </c>
      <c r="I16" s="14">
        <f t="shared" ref="I16:J16" si="7">SUM(E3:E1000)</f>
        <v>1224</v>
      </c>
      <c r="J16" s="24">
        <f t="shared" si="7"/>
        <v>269280</v>
      </c>
      <c r="L16" s="34" t="s">
        <v>19</v>
      </c>
      <c r="M16" s="14" t="s">
        <v>13</v>
      </c>
      <c r="N16" s="14">
        <f t="shared" ref="N16:O16" si="8">SUMIF($D$3:$D1000, $M16,E$3:E1000)</f>
        <v>277</v>
      </c>
      <c r="O16" s="14">
        <f t="shared" si="8"/>
        <v>60940</v>
      </c>
      <c r="R16" s="10" t="s">
        <v>4</v>
      </c>
      <c r="S16" s="11">
        <v>2010</v>
      </c>
      <c r="T16" s="12">
        <v>2011</v>
      </c>
      <c r="U16" s="13">
        <v>2012</v>
      </c>
    </row>
    <row r="17" spans="1:21" ht="14.25" customHeight="1">
      <c r="A17" s="2">
        <v>15</v>
      </c>
      <c r="B17" s="3">
        <v>40734</v>
      </c>
      <c r="C17" s="3" t="str">
        <f t="shared" si="0"/>
        <v>2011</v>
      </c>
      <c r="D17" s="2" t="s">
        <v>11</v>
      </c>
      <c r="E17" s="2">
        <v>64</v>
      </c>
      <c r="F17" s="4">
        <v>14080</v>
      </c>
      <c r="H17" s="23" t="s">
        <v>20</v>
      </c>
      <c r="I17" s="14">
        <f t="shared" ref="I17:J17" si="9">MIN(E3:E1000)</f>
        <v>24</v>
      </c>
      <c r="J17" s="24">
        <f t="shared" si="9"/>
        <v>5280</v>
      </c>
      <c r="L17" s="35"/>
      <c r="M17" s="14" t="s">
        <v>7</v>
      </c>
      <c r="N17" s="14">
        <f t="shared" ref="N17:O17" si="10">SUMIF($D$3:$D1000, $M17,E$3:E1000)</f>
        <v>140</v>
      </c>
      <c r="O17" s="14">
        <f t="shared" si="10"/>
        <v>30800</v>
      </c>
      <c r="R17" s="16" t="s">
        <v>13</v>
      </c>
      <c r="S17" s="25">
        <f t="shared" ref="S17:U17" si="11">SUMIFS($E$3:$E1000,$D$3:$D1000,$R17,$C$3:$C1000,S$16)</f>
        <v>56</v>
      </c>
      <c r="T17" s="25">
        <f t="shared" si="11"/>
        <v>105</v>
      </c>
      <c r="U17" s="25">
        <f t="shared" si="11"/>
        <v>116</v>
      </c>
    </row>
    <row r="18" spans="1:21" ht="14.25" customHeight="1">
      <c r="A18" s="2">
        <v>16</v>
      </c>
      <c r="B18" s="3">
        <v>40953</v>
      </c>
      <c r="C18" s="3" t="str">
        <f t="shared" si="0"/>
        <v>2012</v>
      </c>
      <c r="D18" s="2" t="s">
        <v>13</v>
      </c>
      <c r="E18" s="2">
        <v>51</v>
      </c>
      <c r="F18" s="4">
        <v>11220</v>
      </c>
      <c r="H18" s="23" t="s">
        <v>21</v>
      </c>
      <c r="I18" s="14">
        <f t="shared" ref="I18:J18" si="12">MAX(E3:E1000)</f>
        <v>95</v>
      </c>
      <c r="J18" s="24">
        <f t="shared" si="12"/>
        <v>20900</v>
      </c>
      <c r="L18" s="35"/>
      <c r="M18" s="14" t="s">
        <v>14</v>
      </c>
      <c r="N18" s="14">
        <f t="shared" ref="N18:O18" si="13">SUMIF($D$3:$D1000, $M18,E$3:E1000)</f>
        <v>194</v>
      </c>
      <c r="O18" s="14">
        <f t="shared" si="13"/>
        <v>42680</v>
      </c>
      <c r="R18" s="16" t="s">
        <v>7</v>
      </c>
      <c r="S18" s="25">
        <f t="shared" ref="S18:U18" si="14">SUMIFS($E$3:$E1000,$D$3:$D1000,$R18,$C$3:$C1000,S$16)</f>
        <v>76</v>
      </c>
      <c r="T18" s="25">
        <f t="shared" si="14"/>
        <v>28</v>
      </c>
      <c r="U18" s="25">
        <f t="shared" si="14"/>
        <v>36</v>
      </c>
    </row>
    <row r="19" spans="1:21" ht="14.25" customHeight="1">
      <c r="A19" s="2">
        <v>17</v>
      </c>
      <c r="B19" s="3">
        <v>40953</v>
      </c>
      <c r="C19" s="3" t="str">
        <f t="shared" si="0"/>
        <v>2012</v>
      </c>
      <c r="D19" s="2" t="s">
        <v>14</v>
      </c>
      <c r="E19" s="2">
        <v>25</v>
      </c>
      <c r="F19" s="4">
        <v>5500</v>
      </c>
      <c r="H19" s="23" t="s">
        <v>22</v>
      </c>
      <c r="I19" s="14">
        <f t="shared" ref="I19:J19" si="15">AVERAGE(E3:E1000)</f>
        <v>51</v>
      </c>
      <c r="J19" s="24">
        <f t="shared" si="15"/>
        <v>11220</v>
      </c>
      <c r="L19" s="35"/>
      <c r="M19" s="14" t="s">
        <v>15</v>
      </c>
      <c r="N19" s="14">
        <f t="shared" ref="N19:O19" si="16">SUMIF($D$3:$D1000, $M19,E$3:E1000)</f>
        <v>237</v>
      </c>
      <c r="O19" s="14">
        <f t="shared" si="16"/>
        <v>52140</v>
      </c>
      <c r="R19" s="16" t="s">
        <v>14</v>
      </c>
      <c r="S19" s="25">
        <f t="shared" ref="S19:U19" si="17">SUMIFS($E$3:$E1000,$D$3:$D1000,$R19,$C$3:$C1000,S$16)</f>
        <v>122</v>
      </c>
      <c r="T19" s="25">
        <f t="shared" si="17"/>
        <v>0</v>
      </c>
      <c r="U19" s="25">
        <f t="shared" si="17"/>
        <v>72</v>
      </c>
    </row>
    <row r="20" spans="1:21" ht="14.25" customHeight="1">
      <c r="A20" s="2">
        <v>18</v>
      </c>
      <c r="B20" s="3">
        <v>41014</v>
      </c>
      <c r="C20" s="3" t="str">
        <f t="shared" si="0"/>
        <v>2012</v>
      </c>
      <c r="D20" s="2" t="s">
        <v>11</v>
      </c>
      <c r="E20" s="2">
        <v>32</v>
      </c>
      <c r="F20" s="4">
        <v>7040</v>
      </c>
      <c r="H20" s="23" t="s">
        <v>23</v>
      </c>
      <c r="I20" s="14">
        <f t="shared" ref="I20:J20" si="18">COUNT(E3:E1000)</f>
        <v>24</v>
      </c>
      <c r="J20" s="15">
        <f t="shared" si="18"/>
        <v>24</v>
      </c>
      <c r="L20" s="36"/>
      <c r="M20" s="18" t="s">
        <v>11</v>
      </c>
      <c r="N20" s="14">
        <f t="shared" ref="N20:O20" si="19">SUMIF($D$3:$D1000, $M20,E$3:E1000)</f>
        <v>376</v>
      </c>
      <c r="O20" s="14">
        <f t="shared" si="19"/>
        <v>82720</v>
      </c>
      <c r="R20" s="16" t="s">
        <v>15</v>
      </c>
      <c r="S20" s="25">
        <f t="shared" ref="S20:U20" si="20">SUMIFS($E$3:$E1000,$D$3:$D1000,$R20,$C$3:$C1000,S$16)</f>
        <v>90</v>
      </c>
      <c r="T20" s="25">
        <f t="shared" si="20"/>
        <v>95</v>
      </c>
      <c r="U20" s="25">
        <f t="shared" si="20"/>
        <v>52</v>
      </c>
    </row>
    <row r="21" spans="1:21" ht="14.25" customHeight="1">
      <c r="A21" s="2">
        <v>19</v>
      </c>
      <c r="B21" s="3">
        <v>41014</v>
      </c>
      <c r="C21" s="3" t="str">
        <f t="shared" si="0"/>
        <v>2012</v>
      </c>
      <c r="D21" s="2" t="s">
        <v>13</v>
      </c>
      <c r="E21" s="2">
        <v>24</v>
      </c>
      <c r="F21" s="4">
        <v>5280</v>
      </c>
      <c r="H21" s="26" t="s">
        <v>24</v>
      </c>
      <c r="I21" s="14">
        <f t="shared" ref="I21:J21" si="21">COUNTA(E3:E1000)</f>
        <v>24</v>
      </c>
      <c r="J21" s="27">
        <f t="shared" si="21"/>
        <v>24</v>
      </c>
      <c r="R21" s="19" t="s">
        <v>11</v>
      </c>
      <c r="S21" s="25">
        <f t="shared" ref="S21:U21" si="22">SUMIFS($E$3:$E1000,$D$3:$D1000,$R21,$C$3:$C1000,S$16)</f>
        <v>132</v>
      </c>
      <c r="T21" s="25">
        <f t="shared" si="22"/>
        <v>152</v>
      </c>
      <c r="U21" s="25">
        <f t="shared" si="22"/>
        <v>92</v>
      </c>
    </row>
    <row r="22" spans="1:21" ht="14.25" customHeight="1">
      <c r="A22" s="2">
        <v>20</v>
      </c>
      <c r="B22" s="3">
        <v>41068</v>
      </c>
      <c r="C22" s="3" t="str">
        <f t="shared" si="0"/>
        <v>2012</v>
      </c>
      <c r="D22" s="2" t="s">
        <v>14</v>
      </c>
      <c r="E22" s="2">
        <v>47</v>
      </c>
      <c r="F22" s="4">
        <v>10340</v>
      </c>
    </row>
    <row r="23" spans="1:21" ht="14.25" customHeight="1">
      <c r="A23" s="2">
        <v>21</v>
      </c>
      <c r="B23" s="3">
        <v>41068</v>
      </c>
      <c r="C23" s="3" t="str">
        <f t="shared" si="0"/>
        <v>2012</v>
      </c>
      <c r="D23" s="2" t="s">
        <v>13</v>
      </c>
      <c r="E23" s="2">
        <v>41</v>
      </c>
      <c r="F23" s="4">
        <v>9020</v>
      </c>
    </row>
    <row r="24" spans="1:21" ht="14.25" customHeight="1">
      <c r="A24" s="2">
        <v>22</v>
      </c>
      <c r="B24" s="3">
        <v>41125</v>
      </c>
      <c r="C24" s="3" t="str">
        <f t="shared" si="0"/>
        <v>2012</v>
      </c>
      <c r="D24" s="2" t="s">
        <v>15</v>
      </c>
      <c r="E24" s="2">
        <v>52</v>
      </c>
      <c r="F24" s="4">
        <v>11440</v>
      </c>
    </row>
    <row r="25" spans="1:21" ht="14.25" customHeight="1">
      <c r="A25" s="2">
        <v>23</v>
      </c>
      <c r="B25" s="3">
        <v>41183</v>
      </c>
      <c r="C25" s="3" t="str">
        <f t="shared" si="0"/>
        <v>2012</v>
      </c>
      <c r="D25" s="2" t="s">
        <v>7</v>
      </c>
      <c r="E25" s="2">
        <v>36</v>
      </c>
      <c r="F25" s="4">
        <v>7920</v>
      </c>
    </row>
    <row r="26" spans="1:21" ht="14.25" customHeight="1">
      <c r="A26" s="2">
        <v>24</v>
      </c>
      <c r="B26" s="3">
        <v>41183</v>
      </c>
      <c r="C26" s="3" t="str">
        <f t="shared" si="0"/>
        <v>2012</v>
      </c>
      <c r="D26" s="2" t="s">
        <v>11</v>
      </c>
      <c r="E26" s="2">
        <v>60</v>
      </c>
      <c r="F26" s="4">
        <v>13200</v>
      </c>
    </row>
    <row r="27" spans="1:21" ht="14.25" customHeight="1"/>
    <row r="28" spans="1:21" ht="14.25" customHeight="1"/>
    <row r="29" spans="1:21" ht="14.25" customHeight="1"/>
    <row r="30" spans="1:21" ht="14.25" customHeight="1"/>
    <row r="31" spans="1:21" ht="14.25" customHeight="1"/>
    <row r="32" spans="1:21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L16:L20"/>
    <mergeCell ref="A1:F1"/>
    <mergeCell ref="I3:K3"/>
    <mergeCell ref="N4:N8"/>
    <mergeCell ref="H14:J14"/>
    <mergeCell ref="S15:U15"/>
  </mergeCells>
  <conditionalFormatting sqref="F1:F26 J16:J19 I5:K9">
    <cfRule type="cellIs" dxfId="5" priority="1" operator="greaterThan">
      <formula>15000</formula>
    </cfRule>
    <cfRule type="cellIs" dxfId="3" priority="2" operator="lessThan">
      <formula>6000</formula>
    </cfRule>
  </conditionalFormatting>
  <conditionalFormatting sqref="J10">
    <cfRule type="notContainsBlanks" dxfId="4" priority="3">
      <formula>LEN(TRIM(J10))&gt;0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Ajijola</cp:lastModifiedBy>
  <dcterms:modified xsi:type="dcterms:W3CDTF">2026-05-05T07:59:18Z</dcterms:modified>
</cp:coreProperties>
</file>